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76f5eefc9471341/Desktop/KA3/"/>
    </mc:Choice>
  </mc:AlternateContent>
  <xr:revisionPtr revIDLastSave="165" documentId="8_{65198D21-CBF1-47C7-AA30-3B522F0162F3}" xr6:coauthVersionLast="47" xr6:coauthVersionMax="47" xr10:uidLastSave="{B1D2A749-EF06-4613-A918-30B84437C6B5}"/>
  <bookViews>
    <workbookView xWindow="-110" yWindow="-110" windowWidth="19420" windowHeight="11500" xr2:uid="{00000000-000D-0000-FFFF-FFFF00000000}"/>
  </bookViews>
  <sheets>
    <sheet name="MRK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q4iuM0rCFUMBbse/+vcBKM8VNY8G1X8AMcBTiijNCI="/>
    </ext>
  </extLst>
</workbook>
</file>

<file path=xl/calcChain.xml><?xml version="1.0" encoding="utf-8"?>
<calcChain xmlns="http://schemas.openxmlformats.org/spreadsheetml/2006/main">
  <c r="H31" i="7" l="1"/>
  <c r="G31" i="7"/>
  <c r="F31" i="7"/>
  <c r="E31" i="7"/>
  <c r="D31" i="7"/>
  <c r="M30" i="7"/>
  <c r="L30" i="7"/>
  <c r="K30" i="7"/>
  <c r="J30" i="7"/>
  <c r="I30" i="7"/>
  <c r="I31" i="7" s="1"/>
  <c r="H30" i="7"/>
  <c r="G30" i="7"/>
  <c r="F30" i="7"/>
  <c r="E30" i="7"/>
  <c r="D30" i="7"/>
  <c r="C30" i="7"/>
  <c r="M52" i="7"/>
  <c r="M47" i="7"/>
  <c r="M50" i="7"/>
  <c r="M51" i="7"/>
  <c r="L50" i="7"/>
  <c r="M48" i="7"/>
  <c r="L48" i="7"/>
  <c r="L47" i="7"/>
  <c r="M59" i="7"/>
  <c r="M62" i="7"/>
  <c r="M56" i="7"/>
  <c r="M44" i="7"/>
  <c r="M41" i="7"/>
  <c r="M37" i="7"/>
  <c r="M27" i="7"/>
  <c r="M25" i="7"/>
  <c r="M21" i="7"/>
  <c r="J31" i="7" l="1"/>
  <c r="M31" i="7"/>
  <c r="L31" i="7"/>
  <c r="K31" i="7"/>
  <c r="M19" i="7"/>
  <c r="M15" i="7"/>
  <c r="L62" i="7"/>
  <c r="K62" i="7"/>
  <c r="J62" i="7"/>
  <c r="I62" i="7"/>
  <c r="H62" i="7"/>
  <c r="G62" i="7"/>
  <c r="F62" i="7"/>
  <c r="E62" i="7"/>
  <c r="D62" i="7"/>
  <c r="L59" i="7"/>
  <c r="K59" i="7"/>
  <c r="J59" i="7"/>
  <c r="I59" i="7"/>
  <c r="H59" i="7"/>
  <c r="G59" i="7"/>
  <c r="F59" i="7"/>
  <c r="E59" i="7"/>
  <c r="D59" i="7"/>
  <c r="C59" i="7"/>
  <c r="L56" i="7"/>
  <c r="K56" i="7"/>
  <c r="J56" i="7"/>
  <c r="I56" i="7"/>
  <c r="H56" i="7"/>
  <c r="G56" i="7"/>
  <c r="F56" i="7"/>
  <c r="E56" i="7"/>
  <c r="D56" i="7"/>
  <c r="L52" i="7"/>
  <c r="K52" i="7"/>
  <c r="J52" i="7"/>
  <c r="I52" i="7"/>
  <c r="H52" i="7"/>
  <c r="G52" i="7"/>
  <c r="F52" i="7"/>
  <c r="E52" i="7"/>
  <c r="D52" i="7"/>
  <c r="C52" i="7"/>
  <c r="L44" i="7"/>
  <c r="K44" i="7"/>
  <c r="J44" i="7"/>
  <c r="I44" i="7"/>
  <c r="H44" i="7"/>
  <c r="G44" i="7"/>
  <c r="F44" i="7"/>
  <c r="E44" i="7"/>
  <c r="D44" i="7"/>
  <c r="C44" i="7"/>
  <c r="L41" i="7"/>
  <c r="K41" i="7"/>
  <c r="J41" i="7"/>
  <c r="I41" i="7"/>
  <c r="H41" i="7"/>
  <c r="G41" i="7"/>
  <c r="F41" i="7"/>
  <c r="E41" i="7"/>
  <c r="D41" i="7"/>
  <c r="C41" i="7"/>
  <c r="L37" i="7"/>
  <c r="K37" i="7"/>
  <c r="J37" i="7"/>
  <c r="I37" i="7"/>
  <c r="H37" i="7"/>
  <c r="G37" i="7"/>
  <c r="F37" i="7"/>
  <c r="E37" i="7"/>
  <c r="D37" i="7"/>
  <c r="C37" i="7"/>
  <c r="L27" i="7"/>
  <c r="L51" i="7" s="1"/>
  <c r="K27" i="7"/>
  <c r="J27" i="7"/>
  <c r="I27" i="7"/>
  <c r="H27" i="7"/>
  <c r="G27" i="7"/>
  <c r="F27" i="7"/>
  <c r="E27" i="7"/>
  <c r="E28" i="7" s="1"/>
  <c r="D27" i="7"/>
  <c r="D28" i="7" s="1"/>
  <c r="C27" i="7"/>
  <c r="L25" i="7"/>
  <c r="K25" i="7"/>
  <c r="J25" i="7"/>
  <c r="I25" i="7"/>
  <c r="H25" i="7"/>
  <c r="G25" i="7"/>
  <c r="F25" i="7"/>
  <c r="E25" i="7"/>
  <c r="D25" i="7"/>
  <c r="L21" i="7"/>
  <c r="K21" i="7"/>
  <c r="J21" i="7"/>
  <c r="I21" i="7"/>
  <c r="H21" i="7"/>
  <c r="G21" i="7"/>
  <c r="F21" i="7"/>
  <c r="E21" i="7"/>
  <c r="D21" i="7"/>
  <c r="C21" i="7"/>
  <c r="L19" i="7"/>
  <c r="K19" i="7"/>
  <c r="J19" i="7"/>
  <c r="I19" i="7"/>
  <c r="H19" i="7"/>
  <c r="G19" i="7"/>
  <c r="F19" i="7"/>
  <c r="E19" i="7"/>
  <c r="D19" i="7"/>
  <c r="C19" i="7"/>
  <c r="L15" i="7"/>
  <c r="K15" i="7"/>
  <c r="J15" i="7"/>
  <c r="I15" i="7"/>
  <c r="H15" i="7"/>
  <c r="G15" i="7"/>
  <c r="F15" i="7"/>
  <c r="E15" i="7"/>
  <c r="D15" i="7"/>
  <c r="F28" i="7" l="1"/>
  <c r="G28" i="7"/>
  <c r="H28" i="7"/>
  <c r="I28" i="7"/>
  <c r="J28" i="7"/>
  <c r="M28" i="7"/>
  <c r="K28" i="7"/>
  <c r="L28" i="7"/>
  <c r="M49" i="7"/>
</calcChain>
</file>

<file path=xl/sharedStrings.xml><?xml version="1.0" encoding="utf-8"?>
<sst xmlns="http://schemas.openxmlformats.org/spreadsheetml/2006/main" count="114" uniqueCount="97">
  <si>
    <t>Investment Analysis</t>
  </si>
  <si>
    <t>Company Name:</t>
  </si>
  <si>
    <t>Business Overview</t>
  </si>
  <si>
    <t>Sector:</t>
  </si>
  <si>
    <t>Country:</t>
  </si>
  <si>
    <t>Stock Symbol:</t>
  </si>
  <si>
    <t>Analysis As At:</t>
  </si>
  <si>
    <t>Criterion Satisfied?</t>
  </si>
  <si>
    <t>Remarks</t>
  </si>
  <si>
    <t>Stock Price History Chart</t>
  </si>
  <si>
    <t>Share Price Information</t>
  </si>
  <si>
    <t xml:space="preserve">    Current price</t>
  </si>
  <si>
    <t xml:space="preserve">    52-week high</t>
  </si>
  <si>
    <t xml:space="preserve">    52-week low</t>
  </si>
  <si>
    <t>A. Revenue, Earnings and Cash Flow Growth</t>
  </si>
  <si>
    <t xml:space="preserve">    1. Consistent revenue growth</t>
  </si>
  <si>
    <t>Revenue</t>
  </si>
  <si>
    <t>a.k.a. sales</t>
  </si>
  <si>
    <t>Revenue growth</t>
  </si>
  <si>
    <t xml:space="preserve">    2. Consistent margins</t>
  </si>
  <si>
    <t>a.k.a. cost of revenue</t>
  </si>
  <si>
    <t>Gross margin</t>
  </si>
  <si>
    <t>a.k.a. net profit</t>
  </si>
  <si>
    <t>Net margin</t>
  </si>
  <si>
    <t>EPS Forecasts</t>
  </si>
  <si>
    <t xml:space="preserve">    3. Historical and expected high growth</t>
  </si>
  <si>
    <t>Company</t>
  </si>
  <si>
    <t>Analyst1</t>
  </si>
  <si>
    <t>Analyst2</t>
  </si>
  <si>
    <t>Earnings growth</t>
  </si>
  <si>
    <t>a.k.a. operating cash flow</t>
  </si>
  <si>
    <t>Cash flow per share</t>
  </si>
  <si>
    <t>Cash flow growth</t>
  </si>
  <si>
    <t>B. Financial Strength</t>
  </si>
  <si>
    <t xml:space="preserve">    1. Low debt: Debt to equity ≤ 0.5</t>
  </si>
  <si>
    <t>Long term debt</t>
  </si>
  <si>
    <t>Debt to equity</t>
  </si>
  <si>
    <t xml:space="preserve">    2. Interest coverage: Cash flow ≥ 3x interest payments</t>
  </si>
  <si>
    <t>Interest expense</t>
  </si>
  <si>
    <t>Interest coverage</t>
  </si>
  <si>
    <t xml:space="preserve">    3. Debt coverage: Long term debt / cash flow &lt; 2</t>
  </si>
  <si>
    <t>Long term debt coverage</t>
  </si>
  <si>
    <t>C. Attractive valuation</t>
  </si>
  <si>
    <t>0 &lt; Price to Sales &lt;= 1</t>
  </si>
  <si>
    <t>0 &lt; Price to Earnings &lt;= 10</t>
  </si>
  <si>
    <t>0 &lt; Price to Earnings Growth &lt; 1</t>
  </si>
  <si>
    <t>0 &lt; Price to Book Value &lt;= 1</t>
  </si>
  <si>
    <t>0&lt; Price to Cash Flow from Operations &lt; 10</t>
  </si>
  <si>
    <t>Return on Equity &gt; 15%</t>
  </si>
  <si>
    <t>D. Other Metrics</t>
  </si>
  <si>
    <t xml:space="preserve">    1. Stock buyback: Falling shares outstanding</t>
  </si>
  <si>
    <t>Share count decline</t>
  </si>
  <si>
    <t xml:space="preserve">    2. High cash as % of equity</t>
  </si>
  <si>
    <t>Cash to Equity</t>
  </si>
  <si>
    <t xml:space="preserve">    3. Dividend consistency and growth</t>
  </si>
  <si>
    <t>Dividend per share</t>
  </si>
  <si>
    <t>Dividend growth</t>
  </si>
  <si>
    <t>E. Qualitative assessment</t>
  </si>
  <si>
    <t xml:space="preserve">    1. Great long-term prospects for growth</t>
  </si>
  <si>
    <t xml:space="preserve">    2. Run by engaged owners or excellent managers who think like business owners</t>
  </si>
  <si>
    <t>high ownership</t>
  </si>
  <si>
    <t>insider buying</t>
  </si>
  <si>
    <t>share buyback</t>
  </si>
  <si>
    <t>RECOMMENDATION</t>
  </si>
  <si>
    <t>RATIONALE FOR BUYING OR NOT BUYING</t>
  </si>
  <si>
    <t>RISKS</t>
  </si>
  <si>
    <t>RESOURCES</t>
  </si>
  <si>
    <t>1. Stock reports from CFRA, Morningstar, LSEG, company annual report; financial statements from SEDAR+</t>
  </si>
  <si>
    <t>https://www.sedarplus.ca/landingpage</t>
  </si>
  <si>
    <t xml:space="preserve">2. Company website: </t>
  </si>
  <si>
    <t>3. finance.yahoo.com</t>
  </si>
  <si>
    <t>*To get EPS forecast from LSEG report, divide stock price by forward P/E</t>
  </si>
  <si>
    <t>Y</t>
  </si>
  <si>
    <t>Financials</t>
  </si>
  <si>
    <t>Merck &amp; Co., Inc.</t>
  </si>
  <si>
    <t>USA</t>
  </si>
  <si>
    <t>Merck operates as a healthcare company worldwide, with two segments, Pharmaceutical and Animal Health. </t>
  </si>
  <si>
    <t>July 10, 2025</t>
  </si>
  <si>
    <t>MRK</t>
  </si>
  <si>
    <t>2025F</t>
  </si>
  <si>
    <t>TTM</t>
  </si>
  <si>
    <t>Operating income</t>
  </si>
  <si>
    <t xml:space="preserve">Fiscal year ends: </t>
  </si>
  <si>
    <t>December 31</t>
  </si>
  <si>
    <t>Merck &amp; Co., Inc. (MRK) Stock Price, News, Quote &amp; History - Yahoo Finance</t>
  </si>
  <si>
    <t>Merck | Home</t>
  </si>
  <si>
    <t>N</t>
  </si>
  <si>
    <t>Free cash flow</t>
  </si>
  <si>
    <t>Free cash flow per share</t>
  </si>
  <si>
    <t>Operating cash flow</t>
  </si>
  <si>
    <t>Stockholders equity</t>
  </si>
  <si>
    <t>Cash &amp; cash equivalents</t>
  </si>
  <si>
    <t>Diluted average shares</t>
  </si>
  <si>
    <t>Cost of revenue</t>
  </si>
  <si>
    <t>Diluted EPS</t>
  </si>
  <si>
    <t>Free cash flow growth</t>
  </si>
  <si>
    <t>Jun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</si>
</sst>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-* #,##0_-;\-* #,##0_-;_-* &quot;-&quot;??_-;_-@_-"/>
  </numFmts>
  <fonts count="15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sz val="1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FF0000"/>
      <name val="Arial"/>
    </font>
    <font>
      <sz val="10"/>
      <color rgb="FF00B050"/>
      <name val="Arial"/>
    </font>
    <font>
      <u/>
      <sz val="10"/>
      <color rgb="FF0000FF"/>
      <name val="Arial"/>
    </font>
    <font>
      <u/>
      <sz val="11"/>
      <color theme="10"/>
      <name val="Calibri"/>
    </font>
    <font>
      <b/>
      <sz val="10"/>
      <color rgb="FFFF0000"/>
      <name val="Arial"/>
      <family val="2"/>
    </font>
    <font>
      <u/>
      <sz val="11"/>
      <color theme="10"/>
      <name val="Calibri"/>
      <scheme val="minor"/>
    </font>
    <font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/>
    <xf numFmtId="164" fontId="2" fillId="2" borderId="2" xfId="0" applyNumberFormat="1" applyFont="1" applyFill="1" applyBorder="1"/>
    <xf numFmtId="0" fontId="1" fillId="2" borderId="1" xfId="0" applyFont="1" applyFill="1" applyBorder="1" applyAlignment="1">
      <alignment horizontal="center"/>
    </xf>
    <xf numFmtId="165" fontId="2" fillId="2" borderId="2" xfId="0" applyNumberFormat="1" applyFont="1" applyFill="1" applyBorder="1"/>
    <xf numFmtId="166" fontId="2" fillId="2" borderId="1" xfId="0" applyNumberFormat="1" applyFont="1" applyFill="1" applyBorder="1"/>
    <xf numFmtId="0" fontId="3" fillId="2" borderId="0" xfId="0" applyFont="1" applyFill="1"/>
    <xf numFmtId="10" fontId="2" fillId="2" borderId="1" xfId="0" applyNumberFormat="1" applyFont="1" applyFill="1" applyBorder="1"/>
    <xf numFmtId="0" fontId="5" fillId="2" borderId="0" xfId="0" applyFont="1" applyFill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right"/>
    </xf>
    <xf numFmtId="9" fontId="2" fillId="2" borderId="1" xfId="0" applyNumberFormat="1" applyFont="1" applyFill="1" applyBorder="1"/>
    <xf numFmtId="165" fontId="6" fillId="2" borderId="1" xfId="0" applyNumberFormat="1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165" fontId="10" fillId="2" borderId="1" xfId="0" applyNumberFormat="1" applyFont="1" applyFill="1" applyBorder="1" applyAlignment="1">
      <alignment horizontal="left"/>
    </xf>
    <xf numFmtId="0" fontId="13" fillId="4" borderId="0" xfId="0" applyFont="1" applyFill="1"/>
    <xf numFmtId="0" fontId="14" fillId="4" borderId="0" xfId="0" applyFont="1" applyFill="1"/>
    <xf numFmtId="0" fontId="13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5" fontId="14" fillId="4" borderId="0" xfId="0" quotePrefix="1" applyNumberFormat="1" applyFont="1" applyFill="1" applyAlignment="1">
      <alignment horizontal="left"/>
    </xf>
    <xf numFmtId="43" fontId="13" fillId="4" borderId="6" xfId="2" applyFont="1" applyFill="1" applyBorder="1"/>
    <xf numFmtId="43" fontId="2" fillId="2" borderId="1" xfId="2" applyFont="1" applyFill="1" applyBorder="1"/>
    <xf numFmtId="43" fontId="13" fillId="4" borderId="0" xfId="2" applyFont="1" applyFill="1"/>
    <xf numFmtId="43" fontId="2" fillId="2" borderId="1" xfId="2" applyFont="1" applyFill="1" applyBorder="1" applyAlignment="1">
      <alignment horizontal="center"/>
    </xf>
    <xf numFmtId="43" fontId="1" fillId="2" borderId="1" xfId="2" applyFont="1" applyFill="1" applyBorder="1" applyAlignment="1">
      <alignment horizontal="center"/>
    </xf>
    <xf numFmtId="43" fontId="0" fillId="3" borderId="0" xfId="2" applyFont="1" applyFill="1"/>
    <xf numFmtId="167" fontId="2" fillId="2" borderId="1" xfId="2" applyNumberFormat="1" applyFont="1" applyFill="1" applyBorder="1"/>
    <xf numFmtId="167" fontId="0" fillId="3" borderId="0" xfId="2" applyNumberFormat="1" applyFont="1" applyFill="1"/>
    <xf numFmtId="43" fontId="2" fillId="2" borderId="2" xfId="2" applyFont="1" applyFill="1" applyBorder="1"/>
    <xf numFmtId="0" fontId="13" fillId="4" borderId="0" xfId="0" quotePrefix="1" applyFont="1" applyFill="1" applyAlignment="1">
      <alignment horizontal="center"/>
    </xf>
    <xf numFmtId="165" fontId="2" fillId="2" borderId="7" xfId="0" applyNumberFormat="1" applyFont="1" applyFill="1" applyBorder="1"/>
    <xf numFmtId="167" fontId="2" fillId="2" borderId="6" xfId="2" applyNumberFormat="1" applyFont="1" applyFill="1" applyBorder="1"/>
    <xf numFmtId="165" fontId="2" fillId="2" borderId="7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right"/>
    </xf>
    <xf numFmtId="167" fontId="2" fillId="2" borderId="8" xfId="2" applyNumberFormat="1" applyFont="1" applyFill="1" applyBorder="1"/>
    <xf numFmtId="164" fontId="2" fillId="2" borderId="7" xfId="0" applyNumberFormat="1" applyFont="1" applyFill="1" applyBorder="1"/>
    <xf numFmtId="43" fontId="2" fillId="2" borderId="6" xfId="2" applyFont="1" applyFill="1" applyBorder="1"/>
    <xf numFmtId="0" fontId="12" fillId="0" borderId="0" xfId="1"/>
    <xf numFmtId="0" fontId="0" fillId="3" borderId="0" xfId="0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3" borderId="4" xfId="0" applyFont="1" applyFill="1" applyBorder="1"/>
    <xf numFmtId="0" fontId="4" fillId="3" borderId="5" xfId="0" applyFont="1" applyFill="1" applyBorder="1"/>
    <xf numFmtId="167" fontId="2" fillId="2" borderId="1" xfId="2" quotePrefix="1" applyNumberFormat="1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12" Type="http://schemas.microsoft.com/office/2017/10/relationships/person" Target="persons/perso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k.com/" TargetMode="External"/><Relationship Id="rId2" Type="http://schemas.openxmlformats.org/officeDocument/2006/relationships/hyperlink" Target="https://finance.yahoo.com/quote/MRK/" TargetMode="External"/><Relationship Id="rId1" Type="http://schemas.openxmlformats.org/officeDocument/2006/relationships/hyperlink" Target="https://www.sedarplus.ca/landing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4275-AC03-4BEC-8099-FABBC6B1090A}">
  <dimension ref="A1:Q88"/>
  <sheetViews>
    <sheetView tabSelected="1" workbookViewId="0">
      <selection activeCell="M58" sqref="M58"/>
    </sheetView>
  </sheetViews>
  <sheetFormatPr defaultColWidth="14.453125" defaultRowHeight="15" customHeight="1" x14ac:dyDescent="0.35"/>
  <cols>
    <col min="1" max="1" width="10.7265625" style="4" customWidth="1"/>
    <col min="2" max="2" width="21.453125" style="4" customWidth="1"/>
    <col min="3" max="12" width="10.7265625" style="4" customWidth="1"/>
    <col min="13" max="13" width="10.7265625" style="34" customWidth="1"/>
    <col min="14" max="26" width="10.7265625" style="4" customWidth="1"/>
    <col min="27" max="16384" width="14.453125" style="4"/>
  </cols>
  <sheetData>
    <row r="1" spans="1:16" ht="14.5" x14ac:dyDescent="0.35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30"/>
      <c r="N1" s="3"/>
      <c r="O1" s="2"/>
      <c r="P1" s="2"/>
    </row>
    <row r="2" spans="1:16" ht="14.5" x14ac:dyDescent="0.35">
      <c r="A2" s="24" t="s">
        <v>1</v>
      </c>
      <c r="B2" s="25" t="s">
        <v>74</v>
      </c>
      <c r="C2" s="25" t="s">
        <v>2</v>
      </c>
      <c r="D2" s="24"/>
      <c r="E2" s="26"/>
      <c r="F2" s="24"/>
      <c r="G2" s="24"/>
      <c r="H2" s="24"/>
      <c r="I2" s="25" t="s">
        <v>3</v>
      </c>
      <c r="J2" s="24" t="s">
        <v>73</v>
      </c>
      <c r="K2" s="24"/>
      <c r="L2" s="24"/>
      <c r="M2" s="31"/>
      <c r="N2" s="27" t="s">
        <v>4</v>
      </c>
      <c r="O2" s="24" t="s">
        <v>75</v>
      </c>
      <c r="P2" s="2"/>
    </row>
    <row r="3" spans="1:16" ht="14.5" x14ac:dyDescent="0.35">
      <c r="A3" s="24" t="s">
        <v>5</v>
      </c>
      <c r="B3" s="25" t="s">
        <v>78</v>
      </c>
      <c r="C3" s="24" t="s">
        <v>76</v>
      </c>
      <c r="D3" s="24"/>
      <c r="E3" s="26"/>
      <c r="F3" s="24"/>
      <c r="G3" s="24"/>
      <c r="H3" s="24"/>
      <c r="I3" s="24"/>
      <c r="J3" s="24"/>
      <c r="K3" s="24"/>
      <c r="L3" s="24"/>
      <c r="M3" s="31"/>
      <c r="N3" s="26"/>
      <c r="O3" s="24"/>
      <c r="P3" s="2"/>
    </row>
    <row r="4" spans="1:16" ht="14.5" x14ac:dyDescent="0.35">
      <c r="A4" s="24" t="s">
        <v>6</v>
      </c>
      <c r="B4" s="28" t="s">
        <v>77</v>
      </c>
      <c r="C4" s="24" t="s">
        <v>82</v>
      </c>
      <c r="D4" s="24"/>
      <c r="E4" s="38" t="s">
        <v>83</v>
      </c>
      <c r="F4" s="24"/>
      <c r="G4" s="24"/>
      <c r="H4" s="24"/>
      <c r="I4" s="24"/>
      <c r="J4" s="24"/>
      <c r="K4" s="24"/>
      <c r="L4" s="24"/>
      <c r="M4" s="31"/>
      <c r="N4" s="26"/>
      <c r="O4" s="24"/>
      <c r="P4" s="2"/>
    </row>
    <row r="5" spans="1:16" ht="26" x14ac:dyDescent="0.35">
      <c r="A5" s="2"/>
      <c r="B5" s="2"/>
      <c r="C5" s="2"/>
      <c r="D5" s="2"/>
      <c r="E5" s="3"/>
      <c r="F5" s="2"/>
      <c r="G5" s="2"/>
      <c r="H5" s="2"/>
      <c r="I5" s="2"/>
      <c r="J5" s="2"/>
      <c r="K5" s="2"/>
      <c r="L5" s="2"/>
      <c r="M5" s="30"/>
      <c r="N5" s="5" t="s">
        <v>7</v>
      </c>
      <c r="O5" s="3" t="s">
        <v>8</v>
      </c>
      <c r="P5" s="2" t="s">
        <v>9</v>
      </c>
    </row>
    <row r="6" spans="1:16" ht="14.5" x14ac:dyDescent="0.35">
      <c r="A6" s="2" t="s">
        <v>10</v>
      </c>
      <c r="B6" s="2"/>
      <c r="C6" s="2"/>
      <c r="D6" s="2"/>
      <c r="E6" s="3"/>
      <c r="F6" s="2"/>
      <c r="G6" s="2"/>
      <c r="H6" s="2"/>
      <c r="I6" s="2"/>
      <c r="J6" s="2"/>
      <c r="K6" s="3"/>
      <c r="L6" s="3"/>
      <c r="M6" s="32"/>
      <c r="N6" s="3"/>
      <c r="O6" s="3"/>
      <c r="P6" s="2"/>
    </row>
    <row r="7" spans="1:16" ht="14.5" x14ac:dyDescent="0.35">
      <c r="A7" s="2" t="s">
        <v>11</v>
      </c>
      <c r="B7" s="2"/>
      <c r="C7" s="2"/>
      <c r="D7" s="2"/>
      <c r="E7" s="3"/>
      <c r="F7" s="2"/>
      <c r="G7" s="2"/>
      <c r="H7" s="2"/>
      <c r="I7" s="2"/>
      <c r="J7" s="2"/>
      <c r="K7" s="2"/>
      <c r="L7" s="6"/>
      <c r="M7" s="29">
        <v>83.71</v>
      </c>
      <c r="N7" s="3"/>
      <c r="O7" s="3"/>
      <c r="P7" s="2"/>
    </row>
    <row r="8" spans="1:16" ht="14.5" x14ac:dyDescent="0.35">
      <c r="A8" s="2" t="s">
        <v>12</v>
      </c>
      <c r="B8" s="2"/>
      <c r="C8" s="2"/>
      <c r="D8" s="2"/>
      <c r="E8" s="3"/>
      <c r="F8" s="2"/>
      <c r="G8" s="2"/>
      <c r="H8" s="2"/>
      <c r="I8" s="2"/>
      <c r="J8" s="2"/>
      <c r="K8" s="2"/>
      <c r="L8" s="6"/>
      <c r="M8" s="29">
        <v>129.93</v>
      </c>
      <c r="N8" s="3"/>
      <c r="O8" s="3"/>
      <c r="P8" s="2"/>
    </row>
    <row r="9" spans="1:16" ht="14.5" x14ac:dyDescent="0.35">
      <c r="A9" s="2" t="s">
        <v>13</v>
      </c>
      <c r="B9" s="2"/>
      <c r="C9" s="2"/>
      <c r="D9" s="2"/>
      <c r="E9" s="3"/>
      <c r="F9" s="2"/>
      <c r="G9" s="2"/>
      <c r="H9" s="2"/>
      <c r="I9" s="2"/>
      <c r="J9" s="2"/>
      <c r="K9" s="2"/>
      <c r="L9" s="6"/>
      <c r="M9" s="29">
        <v>73.31</v>
      </c>
      <c r="N9" s="3"/>
      <c r="O9" s="3"/>
      <c r="P9" s="2"/>
    </row>
    <row r="10" spans="1:16" ht="14.5" x14ac:dyDescent="0.35">
      <c r="A10" s="2"/>
      <c r="B10" s="2"/>
      <c r="C10" s="2"/>
      <c r="D10" s="2"/>
      <c r="E10" s="3"/>
      <c r="F10" s="2"/>
      <c r="G10" s="2"/>
      <c r="H10" s="2"/>
      <c r="I10" s="2"/>
      <c r="J10" s="2"/>
      <c r="K10" s="2"/>
      <c r="L10" s="6"/>
      <c r="M10" s="30"/>
      <c r="N10" s="3"/>
      <c r="O10" s="3"/>
      <c r="P10" s="2"/>
    </row>
    <row r="11" spans="1:16" ht="14.5" x14ac:dyDescent="0.35">
      <c r="A11" s="2"/>
      <c r="B11" s="2"/>
      <c r="C11" s="8">
        <v>2015</v>
      </c>
      <c r="D11" s="8">
        <v>2016</v>
      </c>
      <c r="E11" s="8">
        <v>2017</v>
      </c>
      <c r="F11" s="8">
        <v>2018</v>
      </c>
      <c r="G11" s="8">
        <v>2019</v>
      </c>
      <c r="H11" s="8">
        <v>2020</v>
      </c>
      <c r="I11" s="8">
        <v>2021</v>
      </c>
      <c r="J11" s="8">
        <v>2022</v>
      </c>
      <c r="K11" s="8">
        <v>2023</v>
      </c>
      <c r="L11" s="8">
        <v>2024</v>
      </c>
      <c r="M11" s="33" t="s">
        <v>79</v>
      </c>
      <c r="N11" s="3"/>
      <c r="O11" s="3"/>
      <c r="P11" s="2"/>
    </row>
    <row r="12" spans="1:16" ht="14.5" x14ac:dyDescent="0.35">
      <c r="A12" s="2" t="s">
        <v>14</v>
      </c>
      <c r="B12" s="2"/>
      <c r="C12" s="2"/>
      <c r="D12" s="2"/>
      <c r="E12" s="3"/>
      <c r="F12" s="2"/>
      <c r="G12" s="2"/>
      <c r="H12" s="2"/>
      <c r="I12" s="2"/>
      <c r="J12" s="2"/>
      <c r="K12" s="2"/>
      <c r="L12" s="2"/>
      <c r="M12" s="30"/>
      <c r="N12" s="3"/>
      <c r="O12" s="2"/>
      <c r="P12" s="2"/>
    </row>
    <row r="13" spans="1:16" ht="14.5" x14ac:dyDescent="0.35">
      <c r="A13" s="2" t="s">
        <v>15</v>
      </c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30" t="s">
        <v>80</v>
      </c>
      <c r="N13" s="3" t="s">
        <v>86</v>
      </c>
      <c r="O13" s="2"/>
      <c r="P13" s="2"/>
    </row>
    <row r="14" spans="1:16" ht="14.5" x14ac:dyDescent="0.35">
      <c r="A14" s="2"/>
      <c r="B14" s="2" t="s">
        <v>16</v>
      </c>
      <c r="C14" s="9"/>
      <c r="D14" s="9"/>
      <c r="E14" s="9"/>
      <c r="F14" s="9"/>
      <c r="G14" s="9"/>
      <c r="H14" s="9"/>
      <c r="I14" s="9">
        <v>48704</v>
      </c>
      <c r="J14" s="9">
        <v>59283</v>
      </c>
      <c r="K14" s="9">
        <v>60115</v>
      </c>
      <c r="L14" s="39">
        <v>64168</v>
      </c>
      <c r="M14" s="40">
        <v>63616</v>
      </c>
      <c r="N14" s="3"/>
      <c r="O14" s="2" t="s">
        <v>17</v>
      </c>
      <c r="P14" s="2"/>
    </row>
    <row r="15" spans="1:16" ht="14.5" x14ac:dyDescent="0.35">
      <c r="A15" s="2"/>
      <c r="B15" s="2" t="s">
        <v>18</v>
      </c>
      <c r="C15" s="10"/>
      <c r="D15" s="12" t="e">
        <f t="shared" ref="D15:M15" si="0">D14/C14-1</f>
        <v>#DIV/0!</v>
      </c>
      <c r="E15" s="12" t="e">
        <f t="shared" si="0"/>
        <v>#DIV/0!</v>
      </c>
      <c r="F15" s="12" t="e">
        <f t="shared" si="0"/>
        <v>#DIV/0!</v>
      </c>
      <c r="G15" s="12" t="e">
        <f t="shared" si="0"/>
        <v>#DIV/0!</v>
      </c>
      <c r="H15" s="12" t="e">
        <f t="shared" si="0"/>
        <v>#DIV/0!</v>
      </c>
      <c r="I15" s="12" t="e">
        <f t="shared" si="0"/>
        <v>#DIV/0!</v>
      </c>
      <c r="J15" s="12">
        <f t="shared" si="0"/>
        <v>0.21721008541392894</v>
      </c>
      <c r="K15" s="12">
        <f t="shared" si="0"/>
        <v>1.4034377477523119E-2</v>
      </c>
      <c r="L15" s="12">
        <f t="shared" si="0"/>
        <v>6.7420776844381525E-2</v>
      </c>
      <c r="M15" s="12">
        <f t="shared" si="0"/>
        <v>-8.602418651041055E-3</v>
      </c>
      <c r="N15" s="3"/>
      <c r="O15" s="2"/>
      <c r="P15" s="2"/>
    </row>
    <row r="16" spans="1:16" ht="15" customHeight="1" x14ac:dyDescent="0.35">
      <c r="M16" s="36"/>
    </row>
    <row r="17" spans="1:17" ht="14.5" x14ac:dyDescent="0.35">
      <c r="A17" s="2" t="s">
        <v>19</v>
      </c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35"/>
      <c r="N17" s="3" t="s">
        <v>72</v>
      </c>
      <c r="O17" s="2"/>
      <c r="P17" s="2"/>
      <c r="Q17" s="2"/>
    </row>
    <row r="18" spans="1:17" ht="14.5" x14ac:dyDescent="0.35">
      <c r="A18" s="2"/>
      <c r="B18" s="2" t="s">
        <v>93</v>
      </c>
      <c r="C18" s="9"/>
      <c r="D18" s="9"/>
      <c r="E18" s="9"/>
      <c r="F18" s="9"/>
      <c r="G18" s="9"/>
      <c r="H18" s="9"/>
      <c r="I18" s="9">
        <v>13626</v>
      </c>
      <c r="J18" s="9">
        <v>17411</v>
      </c>
      <c r="K18" s="9">
        <v>16126</v>
      </c>
      <c r="L18" s="39">
        <v>15193</v>
      </c>
      <c r="M18" s="40">
        <v>14844</v>
      </c>
      <c r="N18" s="3"/>
      <c r="O18" s="2" t="s">
        <v>20</v>
      </c>
      <c r="P18" s="2"/>
      <c r="Q18" s="2"/>
    </row>
    <row r="19" spans="1:17" ht="14.5" x14ac:dyDescent="0.35">
      <c r="A19" s="2"/>
      <c r="B19" s="2" t="s">
        <v>21</v>
      </c>
      <c r="C19" s="12" t="e">
        <f t="shared" ref="C19:M19" si="1">(C14-C18)/C14</f>
        <v>#DIV/0!</v>
      </c>
      <c r="D19" s="12" t="e">
        <f t="shared" si="1"/>
        <v>#DIV/0!</v>
      </c>
      <c r="E19" s="12" t="e">
        <f t="shared" si="1"/>
        <v>#DIV/0!</v>
      </c>
      <c r="F19" s="12" t="e">
        <f t="shared" si="1"/>
        <v>#DIV/0!</v>
      </c>
      <c r="G19" s="12" t="e">
        <f t="shared" si="1"/>
        <v>#DIV/0!</v>
      </c>
      <c r="H19" s="12" t="e">
        <f t="shared" si="1"/>
        <v>#DIV/0!</v>
      </c>
      <c r="I19" s="12">
        <f t="shared" si="1"/>
        <v>0.7202283180026281</v>
      </c>
      <c r="J19" s="12">
        <f t="shared" si="1"/>
        <v>0.70630703574380516</v>
      </c>
      <c r="K19" s="12">
        <f t="shared" si="1"/>
        <v>0.73174748398902101</v>
      </c>
      <c r="L19" s="12">
        <f t="shared" si="1"/>
        <v>0.76323089390350329</v>
      </c>
      <c r="M19" s="12">
        <f t="shared" si="1"/>
        <v>0.76666247484909456</v>
      </c>
      <c r="N19" s="11"/>
      <c r="O19" s="2"/>
      <c r="P19" s="2"/>
      <c r="Q19" s="2"/>
    </row>
    <row r="20" spans="1:17" ht="14.5" x14ac:dyDescent="0.35">
      <c r="A20" s="2"/>
      <c r="B20" s="2" t="s">
        <v>81</v>
      </c>
      <c r="C20" s="9"/>
      <c r="D20" s="9"/>
      <c r="E20" s="9"/>
      <c r="F20" s="9"/>
      <c r="G20" s="9"/>
      <c r="H20" s="9"/>
      <c r="I20" s="9">
        <v>13199</v>
      </c>
      <c r="J20" s="9">
        <v>18282</v>
      </c>
      <c r="K20" s="9">
        <v>2954</v>
      </c>
      <c r="L20" s="39">
        <v>20221</v>
      </c>
      <c r="M20" s="40">
        <v>19820</v>
      </c>
      <c r="N20" s="3"/>
      <c r="O20" s="2" t="s">
        <v>22</v>
      </c>
      <c r="P20" s="2"/>
      <c r="Q20" s="2"/>
    </row>
    <row r="21" spans="1:17" ht="15.75" customHeight="1" x14ac:dyDescent="0.35">
      <c r="A21" s="2"/>
      <c r="B21" s="2" t="s">
        <v>23</v>
      </c>
      <c r="C21" s="12" t="e">
        <f t="shared" ref="C21:M21" si="2">C20/C14</f>
        <v>#DIV/0!</v>
      </c>
      <c r="D21" s="12" t="e">
        <f t="shared" si="2"/>
        <v>#DIV/0!</v>
      </c>
      <c r="E21" s="12" t="e">
        <f t="shared" si="2"/>
        <v>#DIV/0!</v>
      </c>
      <c r="F21" s="12" t="e">
        <f t="shared" si="2"/>
        <v>#DIV/0!</v>
      </c>
      <c r="G21" s="12" t="e">
        <f t="shared" si="2"/>
        <v>#DIV/0!</v>
      </c>
      <c r="H21" s="12" t="e">
        <f t="shared" si="2"/>
        <v>#DIV/0!</v>
      </c>
      <c r="I21" s="12">
        <f t="shared" si="2"/>
        <v>0.27100443495400789</v>
      </c>
      <c r="J21" s="12">
        <f t="shared" si="2"/>
        <v>0.3083852031779768</v>
      </c>
      <c r="K21" s="12">
        <f t="shared" si="2"/>
        <v>4.9139149962571738E-2</v>
      </c>
      <c r="L21" s="12">
        <f t="shared" si="2"/>
        <v>0.31512591946141377</v>
      </c>
      <c r="M21" s="12">
        <f t="shared" si="2"/>
        <v>0.31155684104627768</v>
      </c>
      <c r="N21" s="3"/>
      <c r="O21" s="2"/>
      <c r="P21" s="2"/>
      <c r="Q21" s="2"/>
    </row>
    <row r="22" spans="1:17" ht="15.75" customHeight="1" x14ac:dyDescent="0.35">
      <c r="A22" s="2"/>
      <c r="B22" s="2"/>
      <c r="C22" s="2"/>
      <c r="D22" s="12"/>
      <c r="E22" s="3"/>
      <c r="F22" s="2"/>
      <c r="G22" s="2"/>
      <c r="H22" s="2"/>
      <c r="I22" s="2"/>
      <c r="J22" s="2"/>
      <c r="K22" s="2"/>
      <c r="L22" s="2"/>
      <c r="M22" s="35"/>
      <c r="N22" s="3"/>
      <c r="O22" s="48" t="s">
        <v>24</v>
      </c>
      <c r="P22" s="49"/>
      <c r="Q22" s="50"/>
    </row>
    <row r="23" spans="1:17" ht="15.75" customHeight="1" x14ac:dyDescent="0.35">
      <c r="A23" s="2" t="s">
        <v>25</v>
      </c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35"/>
      <c r="N23" s="3"/>
      <c r="O23" s="3" t="s">
        <v>26</v>
      </c>
      <c r="P23" s="3" t="s">
        <v>27</v>
      </c>
      <c r="Q23" s="3" t="s">
        <v>28</v>
      </c>
    </row>
    <row r="24" spans="1:17" ht="15.75" customHeight="1" x14ac:dyDescent="0.35">
      <c r="A24" s="2"/>
      <c r="B24" s="2" t="s">
        <v>94</v>
      </c>
      <c r="C24" s="7"/>
      <c r="D24" s="7"/>
      <c r="E24" s="7"/>
      <c r="F24" s="7"/>
      <c r="G24" s="7"/>
      <c r="H24" s="7"/>
      <c r="I24" s="7">
        <v>5.14</v>
      </c>
      <c r="J24" s="7">
        <v>5.71</v>
      </c>
      <c r="K24" s="7">
        <v>0.14000000000000001</v>
      </c>
      <c r="L24" s="7">
        <v>6.74</v>
      </c>
      <c r="M24" s="37">
        <v>6.49</v>
      </c>
      <c r="N24" s="3"/>
      <c r="O24" s="7"/>
      <c r="P24" s="7"/>
      <c r="Q24" s="7"/>
    </row>
    <row r="25" spans="1:17" ht="15.75" customHeight="1" x14ac:dyDescent="0.35">
      <c r="A25" s="2"/>
      <c r="B25" s="2" t="s">
        <v>29</v>
      </c>
      <c r="C25" s="10"/>
      <c r="D25" s="12" t="e">
        <f t="shared" ref="D25:M25" si="3">D24/C24-1</f>
        <v>#DIV/0!</v>
      </c>
      <c r="E25" s="12" t="e">
        <f t="shared" si="3"/>
        <v>#DIV/0!</v>
      </c>
      <c r="F25" s="12" t="e">
        <f t="shared" si="3"/>
        <v>#DIV/0!</v>
      </c>
      <c r="G25" s="12" t="e">
        <f t="shared" si="3"/>
        <v>#DIV/0!</v>
      </c>
      <c r="H25" s="12" t="e">
        <f t="shared" si="3"/>
        <v>#DIV/0!</v>
      </c>
      <c r="I25" s="12" t="e">
        <f t="shared" si="3"/>
        <v>#DIV/0!</v>
      </c>
      <c r="J25" s="12">
        <f t="shared" si="3"/>
        <v>0.1108949416342413</v>
      </c>
      <c r="K25" s="12">
        <f t="shared" si="3"/>
        <v>-0.97548161120840626</v>
      </c>
      <c r="L25" s="12">
        <f t="shared" si="3"/>
        <v>47.142857142857139</v>
      </c>
      <c r="M25" s="12">
        <f t="shared" si="3"/>
        <v>-3.7091988130563802E-2</v>
      </c>
      <c r="N25" s="3" t="s">
        <v>86</v>
      </c>
      <c r="O25" s="2"/>
      <c r="P25" s="3"/>
      <c r="Q25" s="3"/>
    </row>
    <row r="26" spans="1:17" ht="15.75" customHeight="1" x14ac:dyDescent="0.35">
      <c r="A26" s="2"/>
      <c r="B26" s="2" t="s">
        <v>89</v>
      </c>
      <c r="C26" s="9"/>
      <c r="D26" s="9"/>
      <c r="E26" s="9"/>
      <c r="F26" s="9"/>
      <c r="G26" s="9"/>
      <c r="H26" s="9"/>
      <c r="I26" s="9">
        <v>14109</v>
      </c>
      <c r="J26" s="9">
        <v>19095</v>
      </c>
      <c r="K26" s="9">
        <v>13006</v>
      </c>
      <c r="L26" s="41">
        <v>21468</v>
      </c>
      <c r="M26" s="40">
        <v>18534</v>
      </c>
      <c r="N26" s="3"/>
      <c r="O26" s="2" t="s">
        <v>30</v>
      </c>
      <c r="P26" s="2"/>
      <c r="Q26" s="2"/>
    </row>
    <row r="27" spans="1:17" ht="15.75" customHeight="1" x14ac:dyDescent="0.35">
      <c r="A27" s="2"/>
      <c r="B27" s="2" t="s">
        <v>31</v>
      </c>
      <c r="C27" s="6" t="e">
        <f t="shared" ref="C27:L27" si="4">C26/C55</f>
        <v>#DIV/0!</v>
      </c>
      <c r="D27" s="6" t="e">
        <f t="shared" si="4"/>
        <v>#DIV/0!</v>
      </c>
      <c r="E27" s="6" t="e">
        <f t="shared" si="4"/>
        <v>#DIV/0!</v>
      </c>
      <c r="F27" s="6" t="e">
        <f t="shared" si="4"/>
        <v>#DIV/0!</v>
      </c>
      <c r="G27" s="6" t="e">
        <f t="shared" si="4"/>
        <v>#DIV/0!</v>
      </c>
      <c r="H27" s="6" t="e">
        <f t="shared" si="4"/>
        <v>#DIV/0!</v>
      </c>
      <c r="I27" s="6">
        <f t="shared" si="4"/>
        <v>5.5591016548463354</v>
      </c>
      <c r="J27" s="6">
        <f t="shared" si="4"/>
        <v>7.5118017309205349</v>
      </c>
      <c r="K27" s="6">
        <f t="shared" si="4"/>
        <v>5.1063996859049858</v>
      </c>
      <c r="L27" s="6">
        <f t="shared" si="4"/>
        <v>8.4486422668240841</v>
      </c>
      <c r="M27" s="6">
        <f t="shared" ref="M27" si="5">M26/M55</f>
        <v>7.325691699604743</v>
      </c>
      <c r="N27" s="3"/>
      <c r="O27" s="13"/>
      <c r="P27" s="2"/>
      <c r="Q27" s="2"/>
    </row>
    <row r="28" spans="1:17" ht="15.75" customHeight="1" x14ac:dyDescent="0.35">
      <c r="A28" s="2"/>
      <c r="B28" s="2" t="s">
        <v>32</v>
      </c>
      <c r="C28" s="10"/>
      <c r="D28" s="12" t="e">
        <f t="shared" ref="D28:M28" si="6">D27/C27-1</f>
        <v>#DIV/0!</v>
      </c>
      <c r="E28" s="12" t="e">
        <f t="shared" si="6"/>
        <v>#DIV/0!</v>
      </c>
      <c r="F28" s="12" t="e">
        <f t="shared" si="6"/>
        <v>#DIV/0!</v>
      </c>
      <c r="G28" s="12" t="e">
        <f t="shared" si="6"/>
        <v>#DIV/0!</v>
      </c>
      <c r="H28" s="12" t="e">
        <f t="shared" si="6"/>
        <v>#DIV/0!</v>
      </c>
      <c r="I28" s="12" t="e">
        <f t="shared" si="6"/>
        <v>#DIV/0!</v>
      </c>
      <c r="J28" s="12">
        <f t="shared" si="6"/>
        <v>0.35126180403120832</v>
      </c>
      <c r="K28" s="12">
        <f t="shared" si="6"/>
        <v>-0.32021639164333726</v>
      </c>
      <c r="L28" s="12">
        <f t="shared" si="6"/>
        <v>0.65452036395517021</v>
      </c>
      <c r="M28" s="12">
        <f t="shared" si="6"/>
        <v>-0.13291491481760509</v>
      </c>
      <c r="N28" s="3" t="s">
        <v>86</v>
      </c>
      <c r="O28" s="2"/>
      <c r="P28" s="2"/>
      <c r="Q28" s="2"/>
    </row>
    <row r="29" spans="1:17" ht="15.75" customHeight="1" x14ac:dyDescent="0.35">
      <c r="A29" s="2"/>
      <c r="B29" s="2" t="s">
        <v>87</v>
      </c>
      <c r="C29" s="9"/>
      <c r="D29" s="9"/>
      <c r="E29" s="9"/>
      <c r="F29" s="9"/>
      <c r="G29" s="9"/>
      <c r="H29" s="9"/>
      <c r="I29" s="9">
        <v>9661</v>
      </c>
      <c r="J29" s="9">
        <v>14707</v>
      </c>
      <c r="K29" s="9">
        <v>9143</v>
      </c>
      <c r="L29" s="41">
        <v>18096</v>
      </c>
      <c r="M29" s="40">
        <v>14722</v>
      </c>
      <c r="N29" s="3"/>
      <c r="O29" s="2"/>
      <c r="P29" s="2"/>
      <c r="Q29" s="2"/>
    </row>
    <row r="30" spans="1:17" ht="15.75" customHeight="1" x14ac:dyDescent="0.35">
      <c r="A30" s="2"/>
      <c r="B30" s="2" t="s">
        <v>88</v>
      </c>
      <c r="C30" s="6" t="e">
        <f t="shared" ref="C30:M30" si="7">C29/C58</f>
        <v>#DIV/0!</v>
      </c>
      <c r="D30" s="6" t="e">
        <f t="shared" si="7"/>
        <v>#DIV/0!</v>
      </c>
      <c r="E30" s="6" t="e">
        <f t="shared" si="7"/>
        <v>#DIV/0!</v>
      </c>
      <c r="F30" s="6" t="e">
        <f t="shared" si="7"/>
        <v>#DIV/0!</v>
      </c>
      <c r="G30" s="6" t="e">
        <f t="shared" si="7"/>
        <v>#DIV/0!</v>
      </c>
      <c r="H30" s="6" t="e">
        <f t="shared" si="7"/>
        <v>#DIV/0!</v>
      </c>
      <c r="I30" s="6">
        <f t="shared" si="7"/>
        <v>1.1947811031412316</v>
      </c>
      <c r="J30" s="6">
        <f t="shared" si="7"/>
        <v>1.114842328684051</v>
      </c>
      <c r="K30" s="6">
        <f t="shared" si="7"/>
        <v>1.2890173410404624</v>
      </c>
      <c r="L30" s="6">
        <f t="shared" si="7"/>
        <v>1.3219373219373218</v>
      </c>
      <c r="M30" s="6">
        <f t="shared" si="7"/>
        <v>1.7074924611459059</v>
      </c>
      <c r="N30" s="3"/>
      <c r="O30" s="2"/>
      <c r="P30" s="2"/>
      <c r="Q30" s="2"/>
    </row>
    <row r="31" spans="1:17" ht="15.75" customHeight="1" x14ac:dyDescent="0.35">
      <c r="A31" s="2"/>
      <c r="B31" s="2" t="s">
        <v>95</v>
      </c>
      <c r="C31" s="10"/>
      <c r="D31" s="12" t="e">
        <f t="shared" ref="D31" si="8">D30/C30-1</f>
        <v>#DIV/0!</v>
      </c>
      <c r="E31" s="12" t="e">
        <f t="shared" ref="E31" si="9">E30/D30-1</f>
        <v>#DIV/0!</v>
      </c>
      <c r="F31" s="12" t="e">
        <f t="shared" ref="F31" si="10">F30/E30-1</f>
        <v>#DIV/0!</v>
      </c>
      <c r="G31" s="12" t="e">
        <f t="shared" ref="G31" si="11">G30/F30-1</f>
        <v>#DIV/0!</v>
      </c>
      <c r="H31" s="12" t="e">
        <f t="shared" ref="H31" si="12">H30/G30-1</f>
        <v>#DIV/0!</v>
      </c>
      <c r="I31" s="12" t="e">
        <f t="shared" ref="I31" si="13">I30/H30-1</f>
        <v>#DIV/0!</v>
      </c>
      <c r="J31" s="12">
        <f t="shared" ref="J31:K31" si="14">J30/I30-1</f>
        <v>-6.6906627705285437E-2</v>
      </c>
      <c r="K31" s="12">
        <f t="shared" si="14"/>
        <v>0.15623286618656285</v>
      </c>
      <c r="L31" s="12">
        <f t="shared" ref="L31" si="15">L30/K30-1</f>
        <v>2.5538819260792378E-2</v>
      </c>
      <c r="M31" s="12">
        <f t="shared" ref="M31" si="16">M30/L30-1</f>
        <v>0.29165916780649348</v>
      </c>
      <c r="N31" s="3" t="s">
        <v>72</v>
      </c>
      <c r="O31" s="2"/>
      <c r="P31" s="2"/>
      <c r="Q31" s="2"/>
    </row>
    <row r="32" spans="1:17" ht="15.75" customHeight="1" x14ac:dyDescent="0.3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35"/>
      <c r="N32" s="3"/>
      <c r="O32" s="2"/>
      <c r="P32" s="2"/>
      <c r="Q32" s="2"/>
    </row>
    <row r="33" spans="1:17" ht="15.75" customHeight="1" x14ac:dyDescent="0.35">
      <c r="A33" s="2" t="s">
        <v>33</v>
      </c>
      <c r="B33" s="2"/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35"/>
      <c r="N33" s="3"/>
      <c r="O33" s="2"/>
      <c r="P33" s="2"/>
      <c r="Q33" s="2"/>
    </row>
    <row r="34" spans="1:17" ht="15.75" customHeight="1" x14ac:dyDescent="0.35">
      <c r="A34" s="2" t="s">
        <v>34</v>
      </c>
      <c r="B34" s="2"/>
      <c r="C34" s="14"/>
      <c r="D34" s="14"/>
      <c r="E34" s="2"/>
      <c r="F34" s="14"/>
      <c r="G34" s="14"/>
      <c r="H34" s="14"/>
      <c r="I34" s="14"/>
      <c r="J34" s="14"/>
      <c r="K34" s="14"/>
      <c r="L34" s="15"/>
      <c r="M34" s="51" t="s">
        <v>96</v>
      </c>
      <c r="N34" s="3" t="s">
        <v>86</v>
      </c>
      <c r="O34" s="2"/>
      <c r="P34" s="2"/>
      <c r="Q34" s="2"/>
    </row>
    <row r="35" spans="1:17" ht="15.75" customHeight="1" x14ac:dyDescent="0.35">
      <c r="A35" s="2"/>
      <c r="B35" s="2" t="s">
        <v>35</v>
      </c>
      <c r="C35" s="9"/>
      <c r="D35" s="9"/>
      <c r="E35" s="9"/>
      <c r="F35" s="9"/>
      <c r="G35" s="9"/>
      <c r="H35" s="9"/>
      <c r="I35" s="9">
        <v>30690</v>
      </c>
      <c r="J35" s="9">
        <v>28745</v>
      </c>
      <c r="K35" s="16">
        <v>33683</v>
      </c>
      <c r="L35" s="42">
        <v>34462</v>
      </c>
      <c r="M35" s="43">
        <v>33968</v>
      </c>
      <c r="N35" s="3"/>
      <c r="O35" s="2"/>
      <c r="P35" s="2"/>
      <c r="Q35" s="2"/>
    </row>
    <row r="36" spans="1:17" ht="15.75" customHeight="1" x14ac:dyDescent="0.35">
      <c r="A36" s="2"/>
      <c r="B36" s="2" t="s">
        <v>90</v>
      </c>
      <c r="C36" s="9"/>
      <c r="D36" s="9"/>
      <c r="E36" s="9"/>
      <c r="F36" s="9"/>
      <c r="G36" s="9"/>
      <c r="H36" s="9"/>
      <c r="I36" s="9">
        <v>38184</v>
      </c>
      <c r="J36" s="9">
        <v>45991</v>
      </c>
      <c r="K36" s="9">
        <v>37581</v>
      </c>
      <c r="L36" s="39">
        <v>46313</v>
      </c>
      <c r="M36" s="40">
        <v>48993</v>
      </c>
    </row>
    <row r="37" spans="1:17" ht="15.75" customHeight="1" x14ac:dyDescent="0.35">
      <c r="A37" s="2"/>
      <c r="B37" s="2" t="s">
        <v>36</v>
      </c>
      <c r="C37" s="6" t="e">
        <f t="shared" ref="C37:M37" si="17">C35/C36</f>
        <v>#DIV/0!</v>
      </c>
      <c r="D37" s="6" t="e">
        <f t="shared" si="17"/>
        <v>#DIV/0!</v>
      </c>
      <c r="E37" s="6" t="e">
        <f t="shared" si="17"/>
        <v>#DIV/0!</v>
      </c>
      <c r="F37" s="6" t="e">
        <f t="shared" si="17"/>
        <v>#DIV/0!</v>
      </c>
      <c r="G37" s="6" t="e">
        <f t="shared" si="17"/>
        <v>#DIV/0!</v>
      </c>
      <c r="H37" s="6" t="e">
        <f t="shared" si="17"/>
        <v>#DIV/0!</v>
      </c>
      <c r="I37" s="6">
        <f t="shared" si="17"/>
        <v>0.80373978629792586</v>
      </c>
      <c r="J37" s="6">
        <f t="shared" si="17"/>
        <v>0.62501358961535958</v>
      </c>
      <c r="K37" s="6">
        <f t="shared" si="17"/>
        <v>0.89627737420505038</v>
      </c>
      <c r="L37" s="6">
        <f t="shared" si="17"/>
        <v>0.74411072485047391</v>
      </c>
      <c r="M37" s="6">
        <f t="shared" si="17"/>
        <v>0.69332353601534913</v>
      </c>
    </row>
    <row r="38" spans="1:17" ht="15.75" customHeight="1" x14ac:dyDescent="0.35">
      <c r="A38" s="2"/>
      <c r="B38" s="2"/>
      <c r="C38" s="6"/>
      <c r="D38" s="6"/>
      <c r="E38" s="6"/>
      <c r="F38" s="6"/>
      <c r="G38" s="6"/>
      <c r="H38" s="6"/>
      <c r="I38" s="6"/>
      <c r="J38" s="6"/>
      <c r="K38" s="6"/>
      <c r="L38" s="6"/>
      <c r="M38" s="35"/>
    </row>
    <row r="39" spans="1:17" ht="15.75" customHeight="1" x14ac:dyDescent="0.35">
      <c r="A39" s="2" t="s">
        <v>37</v>
      </c>
      <c r="B39" s="2"/>
      <c r="C39" s="14"/>
      <c r="D39" s="14"/>
      <c r="E39" s="14"/>
      <c r="F39" s="14"/>
      <c r="G39" s="14"/>
      <c r="H39" s="14"/>
      <c r="I39" s="14"/>
      <c r="J39" s="14"/>
      <c r="K39" s="15"/>
      <c r="L39" s="14"/>
      <c r="M39" s="35" t="s">
        <v>80</v>
      </c>
      <c r="N39" s="47" t="s">
        <v>72</v>
      </c>
    </row>
    <row r="40" spans="1:17" ht="15.75" customHeight="1" x14ac:dyDescent="0.35">
      <c r="A40" s="2"/>
      <c r="B40" s="2" t="s">
        <v>38</v>
      </c>
      <c r="C40" s="9"/>
      <c r="D40" s="9"/>
      <c r="E40" s="9"/>
      <c r="F40" s="9"/>
      <c r="G40" s="9"/>
      <c r="H40" s="9"/>
      <c r="I40" s="9">
        <v>806</v>
      </c>
      <c r="J40" s="9">
        <v>962</v>
      </c>
      <c r="K40" s="9">
        <v>1146</v>
      </c>
      <c r="L40" s="41">
        <v>1271</v>
      </c>
      <c r="M40" s="40">
        <v>1276</v>
      </c>
    </row>
    <row r="41" spans="1:17" ht="15.75" customHeight="1" x14ac:dyDescent="0.35">
      <c r="A41" s="2"/>
      <c r="B41" s="2" t="s">
        <v>39</v>
      </c>
      <c r="C41" s="6" t="e">
        <f>C26/A5345</f>
        <v>#DIV/0!</v>
      </c>
      <c r="D41" s="6" t="e">
        <f t="shared" ref="D41:M41" si="18">D26/D40</f>
        <v>#DIV/0!</v>
      </c>
      <c r="E41" s="6" t="e">
        <f t="shared" si="18"/>
        <v>#DIV/0!</v>
      </c>
      <c r="F41" s="6" t="e">
        <f t="shared" si="18"/>
        <v>#DIV/0!</v>
      </c>
      <c r="G41" s="6" t="e">
        <f t="shared" si="18"/>
        <v>#DIV/0!</v>
      </c>
      <c r="H41" s="6" t="e">
        <f t="shared" si="18"/>
        <v>#DIV/0!</v>
      </c>
      <c r="I41" s="6">
        <f t="shared" si="18"/>
        <v>17.504962779156326</v>
      </c>
      <c r="J41" s="6">
        <f t="shared" si="18"/>
        <v>19.849272349272351</v>
      </c>
      <c r="K41" s="6">
        <f t="shared" si="18"/>
        <v>11.349040139616056</v>
      </c>
      <c r="L41" s="6">
        <f t="shared" si="18"/>
        <v>16.890637293469709</v>
      </c>
      <c r="M41" s="6">
        <f t="shared" si="18"/>
        <v>14.525078369905955</v>
      </c>
    </row>
    <row r="42" spans="1:17" ht="15.75" customHeight="1" x14ac:dyDescent="0.35">
      <c r="A42" s="2"/>
      <c r="B42" s="2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35"/>
    </row>
    <row r="43" spans="1:17" ht="15.75" customHeight="1" x14ac:dyDescent="0.35">
      <c r="A43" s="2" t="s">
        <v>40</v>
      </c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35"/>
      <c r="N43" s="47" t="s">
        <v>72</v>
      </c>
    </row>
    <row r="44" spans="1:17" ht="15.75" customHeight="1" x14ac:dyDescent="0.35">
      <c r="A44" s="2"/>
      <c r="B44" s="2" t="s">
        <v>41</v>
      </c>
      <c r="C44" s="6" t="e">
        <f t="shared" ref="C44:M44" si="19">C35/C26</f>
        <v>#DIV/0!</v>
      </c>
      <c r="D44" s="6" t="e">
        <f t="shared" si="19"/>
        <v>#DIV/0!</v>
      </c>
      <c r="E44" s="6" t="e">
        <f t="shared" si="19"/>
        <v>#DIV/0!</v>
      </c>
      <c r="F44" s="6" t="e">
        <f t="shared" si="19"/>
        <v>#DIV/0!</v>
      </c>
      <c r="G44" s="6" t="e">
        <f t="shared" si="19"/>
        <v>#DIV/0!</v>
      </c>
      <c r="H44" s="6" t="e">
        <f t="shared" si="19"/>
        <v>#DIV/0!</v>
      </c>
      <c r="I44" s="6">
        <f t="shared" si="19"/>
        <v>2.1752073144801192</v>
      </c>
      <c r="J44" s="6">
        <f t="shared" si="19"/>
        <v>1.5053678973553286</v>
      </c>
      <c r="K44" s="6">
        <f t="shared" si="19"/>
        <v>2.5898047055205291</v>
      </c>
      <c r="L44" s="6">
        <f t="shared" si="19"/>
        <v>1.6052729644121484</v>
      </c>
      <c r="M44" s="6">
        <f t="shared" si="19"/>
        <v>1.8327398295025359</v>
      </c>
    </row>
    <row r="45" spans="1:17" ht="15.75" customHeight="1" x14ac:dyDescent="0.35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35"/>
    </row>
    <row r="46" spans="1:17" ht="15.75" customHeight="1" x14ac:dyDescent="0.35">
      <c r="A46" s="2" t="s">
        <v>42</v>
      </c>
      <c r="B46" s="2"/>
      <c r="C46" s="14"/>
      <c r="D46" s="14"/>
      <c r="E46" s="14"/>
      <c r="F46" s="17"/>
      <c r="G46" s="14"/>
      <c r="H46" s="14"/>
      <c r="I46" s="14"/>
      <c r="J46" s="14"/>
      <c r="K46" s="14"/>
      <c r="L46" s="14"/>
      <c r="M46" s="35"/>
    </row>
    <row r="47" spans="1:17" ht="15.75" customHeight="1" x14ac:dyDescent="0.35">
      <c r="A47" s="2"/>
      <c r="B47" s="2" t="s">
        <v>43</v>
      </c>
      <c r="C47" s="14"/>
      <c r="D47" s="2"/>
      <c r="E47" s="14"/>
      <c r="F47" s="17"/>
      <c r="G47" s="14"/>
      <c r="H47" s="14"/>
      <c r="I47" s="14"/>
      <c r="J47" s="14"/>
      <c r="K47" s="14"/>
      <c r="L47" s="6">
        <f>$M$7*L55/L14</f>
        <v>3.3148471200598428</v>
      </c>
      <c r="M47" s="6">
        <f>$M$7*M55/M14</f>
        <v>3.3291357520120721</v>
      </c>
      <c r="N47" s="47" t="s">
        <v>86</v>
      </c>
    </row>
    <row r="48" spans="1:17" ht="15.75" customHeight="1" x14ac:dyDescent="0.35">
      <c r="A48" s="2"/>
      <c r="B48" s="2" t="s">
        <v>44</v>
      </c>
      <c r="C48" s="2"/>
      <c r="D48" s="2"/>
      <c r="E48" s="14"/>
      <c r="F48" s="14"/>
      <c r="G48" s="14"/>
      <c r="H48" s="14"/>
      <c r="I48" s="14"/>
      <c r="J48" s="14"/>
      <c r="K48" s="14"/>
      <c r="L48" s="6">
        <f>$M$7/L24</f>
        <v>12.419881305637981</v>
      </c>
      <c r="M48" s="30">
        <f>$M$7/M24</f>
        <v>12.898305084745761</v>
      </c>
      <c r="N48" s="47" t="s">
        <v>72</v>
      </c>
    </row>
    <row r="49" spans="1:14" ht="15.75" customHeight="1" x14ac:dyDescent="0.35">
      <c r="A49" s="2"/>
      <c r="B49" s="2" t="s">
        <v>45</v>
      </c>
      <c r="C49" s="2"/>
      <c r="D49" s="2"/>
      <c r="E49" s="14"/>
      <c r="F49" s="14"/>
      <c r="G49" s="14"/>
      <c r="H49" s="14"/>
      <c r="I49" s="14"/>
      <c r="J49" s="14"/>
      <c r="K49" s="14"/>
      <c r="L49" s="6"/>
      <c r="M49" s="30">
        <f>L48/(M25*100)</f>
        <v>-3.3483999999999994</v>
      </c>
      <c r="N49" s="47" t="s">
        <v>72</v>
      </c>
    </row>
    <row r="50" spans="1:14" ht="15.75" customHeight="1" x14ac:dyDescent="0.35">
      <c r="A50" s="2"/>
      <c r="B50" s="2" t="s">
        <v>46</v>
      </c>
      <c r="C50" s="6"/>
      <c r="D50" s="2"/>
      <c r="E50" s="14"/>
      <c r="F50" s="6"/>
      <c r="G50" s="14"/>
      <c r="H50" s="14"/>
      <c r="I50" s="14"/>
      <c r="J50" s="14"/>
      <c r="K50" s="6"/>
      <c r="L50" s="6">
        <f>$M$7*L55/L36</f>
        <v>4.5928164878111977</v>
      </c>
      <c r="M50" s="6">
        <f>$M$7*M55/M36</f>
        <v>4.3227869287449225</v>
      </c>
      <c r="N50" s="47" t="s">
        <v>86</v>
      </c>
    </row>
    <row r="51" spans="1:14" ht="15.75" customHeight="1" x14ac:dyDescent="0.35">
      <c r="A51" s="2"/>
      <c r="B51" s="2" t="s">
        <v>47</v>
      </c>
      <c r="C51" s="6"/>
      <c r="D51" s="2"/>
      <c r="E51" s="14"/>
      <c r="F51" s="14"/>
      <c r="G51" s="14"/>
      <c r="H51" s="14"/>
      <c r="I51" s="14"/>
      <c r="J51" s="14"/>
      <c r="K51" s="6"/>
      <c r="L51" s="6">
        <f>$M$7/L27</f>
        <v>9.9081008943543889</v>
      </c>
      <c r="M51" s="6">
        <f>$M$7/M27</f>
        <v>11.426907305492607</v>
      </c>
      <c r="N51" s="47" t="s">
        <v>72</v>
      </c>
    </row>
    <row r="52" spans="1:14" ht="15.75" customHeight="1" x14ac:dyDescent="0.35">
      <c r="A52" s="2"/>
      <c r="B52" s="2" t="s">
        <v>48</v>
      </c>
      <c r="C52" s="12" t="e">
        <f t="shared" ref="C52:M52" si="20">C24*C55/C36</f>
        <v>#DIV/0!</v>
      </c>
      <c r="D52" s="12" t="e">
        <f t="shared" si="20"/>
        <v>#DIV/0!</v>
      </c>
      <c r="E52" s="12" t="e">
        <f t="shared" si="20"/>
        <v>#DIV/0!</v>
      </c>
      <c r="F52" s="12" t="e">
        <f t="shared" si="20"/>
        <v>#DIV/0!</v>
      </c>
      <c r="G52" s="12" t="e">
        <f t="shared" si="20"/>
        <v>#DIV/0!</v>
      </c>
      <c r="H52" s="12" t="e">
        <f t="shared" si="20"/>
        <v>#DIV/0!</v>
      </c>
      <c r="I52" s="12">
        <f t="shared" si="20"/>
        <v>0.34164362036455059</v>
      </c>
      <c r="J52" s="12">
        <f t="shared" si="20"/>
        <v>0.31560131330042834</v>
      </c>
      <c r="K52" s="12">
        <f t="shared" si="20"/>
        <v>9.4883052606370248E-3</v>
      </c>
      <c r="L52" s="12">
        <f t="shared" si="20"/>
        <v>0.36979552177574332</v>
      </c>
      <c r="M52" s="12">
        <f t="shared" si="20"/>
        <v>0.33514379605249733</v>
      </c>
      <c r="N52" s="47" t="s">
        <v>72</v>
      </c>
    </row>
    <row r="53" spans="1:14" ht="15.75" customHeight="1" x14ac:dyDescent="0.35">
      <c r="A53" s="2" t="s">
        <v>49</v>
      </c>
      <c r="B53" s="2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35"/>
    </row>
    <row r="54" spans="1:14" ht="15.75" customHeight="1" x14ac:dyDescent="0.35">
      <c r="A54" s="2" t="s">
        <v>50</v>
      </c>
      <c r="B54" s="2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35"/>
      <c r="N54" s="47" t="s">
        <v>72</v>
      </c>
    </row>
    <row r="55" spans="1:14" ht="15.75" customHeight="1" x14ac:dyDescent="0.35">
      <c r="A55" s="2"/>
      <c r="B55" s="2" t="s">
        <v>92</v>
      </c>
      <c r="C55" s="9"/>
      <c r="D55" s="9"/>
      <c r="E55" s="9"/>
      <c r="F55" s="9"/>
      <c r="G55" s="9"/>
      <c r="H55" s="9"/>
      <c r="I55" s="9">
        <v>2538</v>
      </c>
      <c r="J55" s="9">
        <v>2542</v>
      </c>
      <c r="K55" s="9">
        <v>2547</v>
      </c>
      <c r="L55" s="39">
        <v>2541</v>
      </c>
      <c r="M55" s="40">
        <v>2530</v>
      </c>
    </row>
    <row r="56" spans="1:14" ht="15.75" customHeight="1" x14ac:dyDescent="0.35">
      <c r="A56" s="2"/>
      <c r="B56" s="2" t="s">
        <v>51</v>
      </c>
      <c r="C56" s="2"/>
      <c r="D56" s="12" t="e">
        <f t="shared" ref="D56:M56" si="21">D55/C55-1</f>
        <v>#DIV/0!</v>
      </c>
      <c r="E56" s="12" t="e">
        <f t="shared" si="21"/>
        <v>#DIV/0!</v>
      </c>
      <c r="F56" s="12" t="e">
        <f t="shared" si="21"/>
        <v>#DIV/0!</v>
      </c>
      <c r="G56" s="12" t="e">
        <f t="shared" si="21"/>
        <v>#DIV/0!</v>
      </c>
      <c r="H56" s="12" t="e">
        <f t="shared" si="21"/>
        <v>#DIV/0!</v>
      </c>
      <c r="I56" s="12" t="e">
        <f t="shared" si="21"/>
        <v>#DIV/0!</v>
      </c>
      <c r="J56" s="12">
        <f t="shared" si="21"/>
        <v>1.5760441292356209E-3</v>
      </c>
      <c r="K56" s="12">
        <f t="shared" si="21"/>
        <v>1.9669551534224894E-3</v>
      </c>
      <c r="L56" s="12">
        <f t="shared" si="21"/>
        <v>-2.3557126030624431E-3</v>
      </c>
      <c r="M56" s="12">
        <f t="shared" si="21"/>
        <v>-4.3290043290042934E-3</v>
      </c>
    </row>
    <row r="57" spans="1:14" ht="15.75" customHeight="1" x14ac:dyDescent="0.35">
      <c r="A57" s="2" t="s">
        <v>52</v>
      </c>
      <c r="B57" s="2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51" t="s">
        <v>96</v>
      </c>
      <c r="N57" s="47" t="s">
        <v>72</v>
      </c>
    </row>
    <row r="58" spans="1:14" ht="15.75" customHeight="1" x14ac:dyDescent="0.35">
      <c r="A58" s="2"/>
      <c r="B58" s="2" t="s">
        <v>91</v>
      </c>
      <c r="C58" s="7"/>
      <c r="D58" s="7"/>
      <c r="E58" s="7"/>
      <c r="F58" s="7"/>
      <c r="G58" s="7"/>
      <c r="H58" s="7"/>
      <c r="I58" s="7">
        <v>8086</v>
      </c>
      <c r="J58" s="7">
        <v>13192</v>
      </c>
      <c r="K58" s="7">
        <v>7093</v>
      </c>
      <c r="L58" s="44">
        <v>13689</v>
      </c>
      <c r="M58" s="40">
        <v>8622</v>
      </c>
    </row>
    <row r="59" spans="1:14" ht="15.75" customHeight="1" x14ac:dyDescent="0.35">
      <c r="A59" s="2"/>
      <c r="B59" s="2" t="s">
        <v>53</v>
      </c>
      <c r="C59" s="12" t="e">
        <f t="shared" ref="C59:M59" si="22">C58/C36</f>
        <v>#DIV/0!</v>
      </c>
      <c r="D59" s="12" t="e">
        <f t="shared" si="22"/>
        <v>#DIV/0!</v>
      </c>
      <c r="E59" s="12" t="e">
        <f t="shared" si="22"/>
        <v>#DIV/0!</v>
      </c>
      <c r="F59" s="12" t="e">
        <f t="shared" si="22"/>
        <v>#DIV/0!</v>
      </c>
      <c r="G59" s="12" t="e">
        <f t="shared" si="22"/>
        <v>#DIV/0!</v>
      </c>
      <c r="H59" s="12" t="e">
        <f t="shared" si="22"/>
        <v>#DIV/0!</v>
      </c>
      <c r="I59" s="12">
        <f t="shared" si="22"/>
        <v>0.21176408967106641</v>
      </c>
      <c r="J59" s="12">
        <f t="shared" si="22"/>
        <v>0.28683872931660542</v>
      </c>
      <c r="K59" s="12">
        <f t="shared" si="22"/>
        <v>0.1887389904473005</v>
      </c>
      <c r="L59" s="12">
        <f t="shared" si="22"/>
        <v>0.29557575626713883</v>
      </c>
      <c r="M59" s="12">
        <f t="shared" si="22"/>
        <v>0.17598432429122526</v>
      </c>
    </row>
    <row r="60" spans="1:14" ht="15.75" customHeight="1" x14ac:dyDescent="0.35">
      <c r="A60" s="2" t="s">
        <v>54</v>
      </c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35"/>
      <c r="N60" s="47" t="s">
        <v>72</v>
      </c>
    </row>
    <row r="61" spans="1:14" ht="15.75" customHeight="1" x14ac:dyDescent="0.35">
      <c r="A61" s="2"/>
      <c r="B61" s="2" t="s">
        <v>55</v>
      </c>
      <c r="C61" s="7"/>
      <c r="D61" s="7"/>
      <c r="E61" s="7"/>
      <c r="F61" s="7"/>
      <c r="G61" s="7"/>
      <c r="H61" s="7"/>
      <c r="I61" s="7">
        <v>2.61</v>
      </c>
      <c r="J61" s="7">
        <v>2.8</v>
      </c>
      <c r="K61" s="7">
        <v>2.96</v>
      </c>
      <c r="L61" s="44">
        <v>3.08</v>
      </c>
      <c r="M61" s="45">
        <v>3.24</v>
      </c>
    </row>
    <row r="62" spans="1:14" ht="15.75" customHeight="1" x14ac:dyDescent="0.35">
      <c r="A62" s="2"/>
      <c r="B62" s="2" t="s">
        <v>56</v>
      </c>
      <c r="C62" s="6"/>
      <c r="D62" s="12" t="e">
        <f t="shared" ref="D62:M62" si="23">D61/C61-1</f>
        <v>#DIV/0!</v>
      </c>
      <c r="E62" s="12" t="e">
        <f t="shared" si="23"/>
        <v>#DIV/0!</v>
      </c>
      <c r="F62" s="12" t="e">
        <f t="shared" si="23"/>
        <v>#DIV/0!</v>
      </c>
      <c r="G62" s="12" t="e">
        <f t="shared" si="23"/>
        <v>#DIV/0!</v>
      </c>
      <c r="H62" s="12" t="e">
        <f t="shared" si="23"/>
        <v>#DIV/0!</v>
      </c>
      <c r="I62" s="12" t="e">
        <f t="shared" si="23"/>
        <v>#DIV/0!</v>
      </c>
      <c r="J62" s="12">
        <f t="shared" si="23"/>
        <v>7.2796934865900331E-2</v>
      </c>
      <c r="K62" s="12">
        <f t="shared" si="23"/>
        <v>5.7142857142857162E-2</v>
      </c>
      <c r="L62" s="12">
        <f t="shared" si="23"/>
        <v>4.0540540540540571E-2</v>
      </c>
      <c r="M62" s="12">
        <f t="shared" si="23"/>
        <v>5.1948051948051965E-2</v>
      </c>
    </row>
    <row r="63" spans="1:14" ht="15.75" customHeight="1" x14ac:dyDescent="0.35">
      <c r="A63" s="2"/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35"/>
    </row>
    <row r="64" spans="1:14" ht="15.75" customHeight="1" x14ac:dyDescent="0.35">
      <c r="A64" s="2" t="s">
        <v>57</v>
      </c>
      <c r="B64" s="2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35"/>
    </row>
    <row r="65" spans="1:13" ht="15.75" customHeight="1" x14ac:dyDescent="0.35">
      <c r="A65" s="2" t="s">
        <v>58</v>
      </c>
      <c r="B65" s="2"/>
      <c r="C65" s="11"/>
      <c r="D65" s="14"/>
      <c r="E65" s="15"/>
      <c r="F65" s="14"/>
      <c r="G65" s="14"/>
      <c r="H65" s="14"/>
      <c r="I65" s="14"/>
      <c r="J65" s="18"/>
      <c r="K65" s="14"/>
      <c r="L65" s="14"/>
      <c r="M65" s="35"/>
    </row>
    <row r="66" spans="1:13" ht="15" customHeight="1" x14ac:dyDescent="0.35">
      <c r="M66" s="36"/>
    </row>
    <row r="67" spans="1:13" ht="15" customHeight="1" x14ac:dyDescent="0.35">
      <c r="M67" s="36"/>
    </row>
    <row r="68" spans="1:13" ht="15.75" customHeight="1" x14ac:dyDescent="0.35">
      <c r="A68" s="2" t="s">
        <v>59</v>
      </c>
      <c r="B68" s="2"/>
      <c r="M68" s="36"/>
    </row>
    <row r="69" spans="1:13" ht="15.75" customHeight="1" x14ac:dyDescent="0.35">
      <c r="A69" s="2"/>
      <c r="B69" s="15" t="s">
        <v>60</v>
      </c>
      <c r="M69" s="36"/>
    </row>
    <row r="70" spans="1:13" ht="15.75" customHeight="1" x14ac:dyDescent="0.35">
      <c r="A70" s="2"/>
      <c r="B70" s="15" t="s">
        <v>61</v>
      </c>
      <c r="M70" s="36"/>
    </row>
    <row r="71" spans="1:13" ht="15.75" customHeight="1" x14ac:dyDescent="0.35">
      <c r="A71" s="2"/>
      <c r="B71" s="15" t="s">
        <v>62</v>
      </c>
      <c r="M71" s="36"/>
    </row>
    <row r="72" spans="1:13" ht="15.75" customHeight="1" x14ac:dyDescent="0.35">
      <c r="A72" s="2"/>
      <c r="B72" s="15"/>
      <c r="M72" s="36"/>
    </row>
    <row r="73" spans="1:13" ht="15.75" customHeight="1" x14ac:dyDescent="0.35">
      <c r="A73" s="19" t="s">
        <v>63</v>
      </c>
      <c r="B73" s="2"/>
      <c r="M73" s="36"/>
    </row>
    <row r="74" spans="1:13" ht="15.75" customHeight="1" x14ac:dyDescent="0.35">
      <c r="A74" s="20"/>
      <c r="B74" s="2"/>
      <c r="M74" s="36"/>
    </row>
    <row r="75" spans="1:13" ht="15.75" customHeight="1" x14ac:dyDescent="0.35">
      <c r="A75" s="20"/>
      <c r="B75" s="2"/>
      <c r="M75" s="36"/>
    </row>
    <row r="76" spans="1:13" ht="15.75" customHeight="1" x14ac:dyDescent="0.35">
      <c r="A76" s="21" t="s">
        <v>64</v>
      </c>
      <c r="B76" s="2"/>
      <c r="M76" s="36"/>
    </row>
    <row r="77" spans="1:13" ht="15.75" customHeight="1" x14ac:dyDescent="0.35">
      <c r="A77" s="21"/>
      <c r="B77" s="2"/>
      <c r="M77" s="36"/>
    </row>
    <row r="78" spans="1:13" ht="15.75" customHeight="1" x14ac:dyDescent="0.35">
      <c r="A78" s="21"/>
      <c r="B78" s="2"/>
      <c r="M78" s="36"/>
    </row>
    <row r="79" spans="1:13" ht="15.75" customHeight="1" x14ac:dyDescent="0.35">
      <c r="A79" s="21"/>
      <c r="B79" s="2"/>
    </row>
    <row r="80" spans="1:13" ht="15.75" customHeight="1" x14ac:dyDescent="0.35">
      <c r="A80" s="21" t="s">
        <v>65</v>
      </c>
      <c r="B80" s="2"/>
    </row>
    <row r="84" spans="1:9" ht="15.75" customHeight="1" x14ac:dyDescent="0.35">
      <c r="A84" s="21" t="s">
        <v>66</v>
      </c>
      <c r="B84" s="2"/>
      <c r="C84" s="14"/>
      <c r="D84" s="14"/>
      <c r="E84" s="15"/>
      <c r="F84" s="14"/>
      <c r="G84" s="14"/>
      <c r="H84" s="14"/>
      <c r="I84" s="14"/>
    </row>
    <row r="85" spans="1:9" ht="15.75" customHeight="1" x14ac:dyDescent="0.35">
      <c r="A85" s="21" t="s">
        <v>67</v>
      </c>
      <c r="B85" s="2"/>
      <c r="C85" s="14"/>
      <c r="D85" s="14"/>
      <c r="E85" s="15"/>
      <c r="F85" s="14"/>
      <c r="G85" s="14"/>
      <c r="H85" s="14"/>
      <c r="I85" s="22" t="s">
        <v>68</v>
      </c>
    </row>
    <row r="86" spans="1:9" ht="15.75" customHeight="1" x14ac:dyDescent="0.35">
      <c r="A86" s="21" t="s">
        <v>69</v>
      </c>
      <c r="B86" s="13"/>
      <c r="C86" s="46" t="s">
        <v>85</v>
      </c>
      <c r="D86" s="14"/>
      <c r="E86" s="15"/>
      <c r="F86" s="14"/>
      <c r="G86" s="14"/>
      <c r="H86" s="14"/>
      <c r="I86" s="14"/>
    </row>
    <row r="87" spans="1:9" ht="15.75" customHeight="1" x14ac:dyDescent="0.35">
      <c r="A87" s="21" t="s">
        <v>70</v>
      </c>
      <c r="C87" s="46" t="s">
        <v>84</v>
      </c>
      <c r="D87" s="14"/>
      <c r="E87" s="23"/>
      <c r="F87" s="14"/>
      <c r="G87" s="14"/>
      <c r="H87" s="14"/>
      <c r="I87" s="14"/>
    </row>
    <row r="88" spans="1:9" ht="15.75" customHeight="1" x14ac:dyDescent="0.35">
      <c r="A88" s="21" t="s">
        <v>71</v>
      </c>
      <c r="B88" s="2"/>
      <c r="C88" s="14"/>
      <c r="D88" s="14"/>
      <c r="E88" s="15"/>
      <c r="F88" s="14"/>
      <c r="G88" s="14"/>
      <c r="H88" s="14"/>
      <c r="I88" s="14"/>
    </row>
  </sheetData>
  <mergeCells count="1">
    <mergeCell ref="O22:Q22"/>
  </mergeCells>
  <hyperlinks>
    <hyperlink ref="I85" r:id="rId1" xr:uid="{1655761A-9F95-4745-BC5C-7E5BB2A4F60C}"/>
    <hyperlink ref="C87" r:id="rId2" display="https://finance.yahoo.com/quote/MRK/" xr:uid="{6124813A-C892-4074-A35A-5FBE2316B8F4}"/>
    <hyperlink ref="C86" r:id="rId3" display="https://www.merck.com/" xr:uid="{2249FC9D-A008-4737-B5C0-BB3D3C476E3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a_fab</dc:creator>
  <cp:lastModifiedBy>Armando Fabia</cp:lastModifiedBy>
  <dcterms:created xsi:type="dcterms:W3CDTF">2020-01-24T19:56:00Z</dcterms:created>
  <dcterms:modified xsi:type="dcterms:W3CDTF">2025-09-22T17:03:28Z</dcterms:modified>
</cp:coreProperties>
</file>